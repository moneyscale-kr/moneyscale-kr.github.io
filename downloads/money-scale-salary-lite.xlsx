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월급배분" sheetId="1" state="visible" r:id="rId1"/>
    <sheet name="2_고정비_저축목록" sheetId="2" state="visible" r:id="rId2"/>
    <sheet name="3_12개월기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0.0"/>
    <numFmt numFmtId="166" formatCode="#,##0&quot;원&quot;;[Red]-#,##0&quot;원&quot;"/>
    <numFmt numFmtId="167" formatCode="0.0%"/>
  </numFmts>
  <fonts count="9">
    <font>
      <name val="Calibri"/>
      <family val="2"/>
      <color theme="1"/>
      <sz val="11"/>
      <scheme val="minor"/>
    </font>
    <font>
      <name val="Malgun Gothic"/>
      <b val="1"/>
      <color rgb="00C8FF3D"/>
      <sz val="16"/>
    </font>
    <font>
      <name val="Malgun Gothic"/>
      <color rgb="00777777"/>
      <sz val="9"/>
    </font>
    <font>
      <name val="Malgun Gothic"/>
      <b val="1"/>
      <color rgb="000B0B0F"/>
      <sz val="11"/>
    </font>
    <font>
      <name val="Malgun Gothic"/>
      <b val="1"/>
      <color rgb="000B5FFF"/>
      <sz val="12"/>
    </font>
    <font>
      <name val="Malgun Gothic"/>
      <color rgb="00222222"/>
      <sz val="11"/>
    </font>
    <font>
      <name val="Malgun Gothic"/>
      <color rgb="00C0392B"/>
      <sz val="9"/>
    </font>
    <font>
      <name val="Malgun Gothic"/>
      <b val="1"/>
      <sz val="12"/>
    </font>
    <font>
      <name val="Malgun Gothic"/>
      <b val="1"/>
      <sz val="11"/>
    </font>
  </fonts>
  <fills count="6">
    <fill>
      <patternFill/>
    </fill>
    <fill>
      <patternFill patternType="gray125"/>
    </fill>
    <fill>
      <patternFill patternType="solid">
        <fgColor rgb="000B0B0F"/>
      </patternFill>
    </fill>
    <fill>
      <patternFill patternType="solid">
        <fgColor rgb="00F4F1EA"/>
      </patternFill>
    </fill>
    <fill>
      <patternFill patternType="solid">
        <fgColor rgb="00FFF9DB"/>
      </patternFill>
    </fill>
    <fill>
      <patternFill patternType="solid">
        <fgColor rgb="00C8FF3D"/>
      </patternFill>
    </fill>
  </fills>
  <borders count="2">
    <border>
      <left/>
      <right/>
      <top/>
      <bottom/>
      <diagonal/>
    </border>
    <border>
      <left style="thin">
        <color rgb="00D9D6CC"/>
      </left>
      <right style="thin">
        <color rgb="00D9D6CC"/>
      </right>
      <top style="thin">
        <color rgb="00D9D6CC"/>
      </top>
      <bottom style="thin">
        <color rgb="00D9D6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3" borderId="1" pivotButton="0" quotePrefix="0" xfId="0"/>
    <xf numFmtId="164" fontId="4" fillId="4" borderId="1" pivotButton="0" quotePrefix="0" xfId="0"/>
    <xf numFmtId="0" fontId="3" fillId="5" borderId="1" applyAlignment="1" pivotButton="0" quotePrefix="0" xfId="0">
      <alignment horizontal="center" vertical="center"/>
    </xf>
    <xf numFmtId="0" fontId="5" fillId="0" borderId="1" pivotButton="0" quotePrefix="0" xfId="0"/>
    <xf numFmtId="9" fontId="4" fillId="4" borderId="1" applyAlignment="1" pivotButton="0" quotePrefix="0" xfId="0">
      <alignment horizontal="center" vertical="center"/>
    </xf>
    <xf numFmtId="164" fontId="5" fillId="0" borderId="1" pivotButton="0" quotePrefix="0" xfId="0"/>
    <xf numFmtId="0" fontId="2" fillId="0" borderId="1" pivotButton="0" quotePrefix="0" xfId="0"/>
    <xf numFmtId="9" fontId="3" fillId="3" borderId="1" applyAlignment="1" pivotButton="0" quotePrefix="0" xfId="0">
      <alignment horizontal="center" vertical="center"/>
    </xf>
    <xf numFmtId="164" fontId="3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165" fontId="5" fillId="0" borderId="1" pivotButton="0" quotePrefix="0" xfId="0"/>
    <xf numFmtId="0" fontId="6" fillId="0" borderId="0" pivotButton="0" quotePrefix="0" xfId="0"/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166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8" fillId="0" borderId="0" pivotButton="0" quotePrefix="0" xfId="0"/>
    <xf numFmtId="167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167" fontId="5" fillId="0" borderId="1" applyAlignment="1" pivotButton="0" quotePrefix="0" xfId="0">
      <alignment horizontal="center" vertical="center"/>
    </xf>
    <xf numFmtId="167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FF5A4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FF3D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40" customWidth="1" min="5" max="5"/>
  </cols>
  <sheetData>
    <row r="1" ht="34" customHeight="1">
      <c r="A1" s="1" t="inlineStr">
        <is>
          <t>돈의 스케일 | 월급 관리 엑셀 lite  -  1. 월급 배분</t>
        </is>
      </c>
    </row>
    <row r="3">
      <c r="A3" s="2" t="inlineStr">
        <is>
          <t>노란 칸(파란 글씨)만 바꾸세요. 나머지는 자동 계산돼요.</t>
        </is>
      </c>
    </row>
    <row r="5">
      <c r="A5" s="3" t="inlineStr">
        <is>
          <t>월 실수령액</t>
        </is>
      </c>
      <c r="B5" s="4" t="n">
        <v>2800000</v>
      </c>
      <c r="C5" s="2" t="inlineStr">
        <is>
          <t>통장에 실제로 찍히는 금액</t>
        </is>
      </c>
    </row>
    <row r="7">
      <c r="A7" s="5" t="inlineStr">
        <is>
          <t>구분</t>
        </is>
      </c>
      <c r="B7" s="5" t="inlineStr">
        <is>
          <t>내 목표 비율</t>
        </is>
      </c>
      <c r="C7" s="5" t="inlineStr">
        <is>
          <t>금액</t>
        </is>
      </c>
      <c r="D7" s="5" t="inlineStr">
        <is>
          <t>6개월 누적</t>
        </is>
      </c>
      <c r="E7" s="5" t="inlineStr">
        <is>
          <t>메모</t>
        </is>
      </c>
    </row>
    <row r="8">
      <c r="A8" s="6" t="inlineStr">
        <is>
          <t>고정비 (월세·관리비·통신·보험료 등)</t>
        </is>
      </c>
      <c r="B8" s="7" t="n">
        <v>0.5</v>
      </c>
      <c r="C8" s="8">
        <f>ROUND($B$5*B8,-1)</f>
        <v/>
      </c>
      <c r="D8" s="8">
        <f>C8*6</f>
        <v/>
      </c>
      <c r="E8" s="9" t="inlineStr">
        <is>
          <t>매달 같은 날 나가는 돈</t>
        </is>
      </c>
    </row>
    <row r="9">
      <c r="A9" s="6" t="inlineStr">
        <is>
          <t>생활비 (식비·교통·여가)</t>
        </is>
      </c>
      <c r="B9" s="7" t="n">
        <v>0.2</v>
      </c>
      <c r="C9" s="8">
        <f>ROUND($B$5*B9,-1)</f>
        <v/>
      </c>
      <c r="D9" s="8">
        <f>C9*6</f>
        <v/>
      </c>
      <c r="E9" s="9" t="inlineStr">
        <is>
          <t>변동비. 한도를 정해두면 편해요</t>
        </is>
      </c>
    </row>
    <row r="10">
      <c r="A10" s="6" t="inlineStr">
        <is>
          <t>저축 (비상금·예금·적금)</t>
        </is>
      </c>
      <c r="B10" s="7" t="n">
        <v>0.2</v>
      </c>
      <c r="C10" s="8">
        <f>ROUND($B$5*B10,-1)</f>
        <v/>
      </c>
      <c r="D10" s="8">
        <f>C10*6</f>
        <v/>
      </c>
      <c r="E10" s="9" t="inlineStr">
        <is>
          <t>원금이 보장되는 쪽 위주로 정해보세요</t>
        </is>
      </c>
    </row>
    <row r="11">
      <c r="A11" s="6" t="inlineStr">
        <is>
          <t>투자·자기계발 (본인 계획)</t>
        </is>
      </c>
      <c r="B11" s="7" t="n">
        <v>0.1</v>
      </c>
      <c r="C11" s="8">
        <f>ROUND($B$5*B11,-1)</f>
        <v/>
      </c>
      <c r="D11" s="8">
        <f>C11*6</f>
        <v/>
      </c>
      <c r="E11" s="9" t="inlineStr">
        <is>
          <t>비율은 예시일 뿐 권유가 아니에요</t>
        </is>
      </c>
    </row>
    <row r="12">
      <c r="A12" s="3" t="inlineStr">
        <is>
          <t>합계</t>
        </is>
      </c>
      <c r="B12" s="10">
        <f>ROUND(SUM(B8:B11),4)</f>
        <v/>
      </c>
      <c r="C12" s="11">
        <f>SUM(C8:C11)</f>
        <v/>
      </c>
      <c r="D12" s="11">
        <f>SUM(D8:D11)</f>
        <v/>
      </c>
      <c r="E12" s="12">
        <f>IF(ROUND(B12,4)=1,"OK: 비율 합계 100%","비율 합계가 100%가 아니에요")</f>
        <v/>
      </c>
    </row>
    <row r="14">
      <c r="A14" s="13" t="inlineStr">
        <is>
          <t>저축 가능 빠른 계산</t>
        </is>
      </c>
    </row>
    <row r="15">
      <c r="A15" s="6" t="inlineStr">
        <is>
          <t>연 저축액</t>
        </is>
      </c>
      <c r="B15" s="8">
        <f>C10*12</f>
        <v/>
      </c>
    </row>
    <row r="16">
      <c r="A16" s="6" t="inlineStr">
        <is>
          <t>1억 원까지 걸리는 기간(년)</t>
        </is>
      </c>
      <c r="B16" s="14">
        <f>IF(C10&gt;0,ROUND(100000000/(C10*12),1),"-")</f>
        <v/>
      </c>
      <c r="C16" s="2" t="inlineStr">
        <is>
          <t>이자·세금 미반영 단순 계산</t>
        </is>
      </c>
    </row>
    <row r="18">
      <c r="A18" s="15" t="inlineStr">
        <is>
          <t>참고용 템플릿이에요. 세법·보험요율은 변경될 수 있고, 특정 금융상품·투자에 대한 권유가 아닙니다.</t>
        </is>
      </c>
    </row>
    <row r="19">
      <c r="A19" s="2" t="inlineStr">
        <is>
          <t>비율 예시는 일반적인 가계 관리 틀이며, 개인 상황에 맞게 바꿔 쓰세요.  moneyscale-kr.github.io</t>
        </is>
      </c>
    </row>
  </sheetData>
  <mergeCells count="1">
    <mergeCell ref="A1:E1"/>
  </mergeCells>
  <conditionalFormatting sqref="B12">
    <cfRule type="cellIs" priority="1" operator="notEqual" dxfId="0">
      <formula>1</formula>
    </cfRule>
  </conditionalFormatting>
  <dataValidations count="1">
    <dataValidation sqref="B8:B11" showDropDown="0" showInputMessage="0" showErrorMessage="1" allowBlank="0" errorTitle="비율" error="0%~100% 사이로 입력하세요" type="decimal" operator="between">
      <formula1>0</formula1>
      <formula2>1</formula2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C8FF3D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30" customWidth="1" min="5" max="5"/>
  </cols>
  <sheetData>
    <row r="1" ht="34" customHeight="1">
      <c r="A1" s="1" t="inlineStr">
        <is>
          <t>2. 고정비 · 저축 목록  -  항목을 직접 적으세요</t>
        </is>
      </c>
    </row>
    <row r="3">
      <c r="A3" s="5" t="inlineStr">
        <is>
          <t>항목</t>
        </is>
      </c>
      <c r="B3" s="5" t="inlineStr">
        <is>
          <t>월 금액</t>
        </is>
      </c>
      <c r="C3" s="5" t="inlineStr">
        <is>
          <t>분류</t>
        </is>
      </c>
      <c r="D3" s="5" t="inlineStr">
        <is>
          <t>나가는 날(일)</t>
        </is>
      </c>
      <c r="E3" s="5" t="inlineStr">
        <is>
          <t>메모</t>
        </is>
      </c>
    </row>
    <row r="4">
      <c r="A4" s="16" t="inlineStr">
        <is>
          <t>월세/대출 상환(본인 계약)</t>
        </is>
      </c>
      <c r="B4" s="4" t="n">
        <v>700000</v>
      </c>
      <c r="C4" s="17" t="inlineStr">
        <is>
          <t>고정비</t>
        </is>
      </c>
      <c r="D4" s="17" t="n">
        <v>1</v>
      </c>
      <c r="E4" s="6" t="n"/>
    </row>
    <row r="5">
      <c r="A5" s="16" t="inlineStr">
        <is>
          <t>관리비·공과금</t>
        </is>
      </c>
      <c r="B5" s="4" t="n">
        <v>120000</v>
      </c>
      <c r="C5" s="17" t="inlineStr">
        <is>
          <t>고정비</t>
        </is>
      </c>
      <c r="D5" s="17" t="n">
        <v>10</v>
      </c>
      <c r="E5" s="6" t="n"/>
    </row>
    <row r="6">
      <c r="A6" s="16" t="inlineStr">
        <is>
          <t>통신비</t>
        </is>
      </c>
      <c r="B6" s="4" t="n">
        <v>55000</v>
      </c>
      <c r="C6" s="17" t="inlineStr">
        <is>
          <t>고정비</t>
        </is>
      </c>
      <c r="D6" s="17" t="n">
        <v>15</v>
      </c>
      <c r="E6" s="6" t="n"/>
    </row>
    <row r="7">
      <c r="A7" s="16" t="inlineStr">
        <is>
          <t>교통(정기권)</t>
        </is>
      </c>
      <c r="B7" s="4" t="n">
        <v>60000</v>
      </c>
      <c r="C7" s="17" t="inlineStr">
        <is>
          <t>고정비</t>
        </is>
      </c>
      <c r="D7" s="17" t="n">
        <v>20</v>
      </c>
      <c r="E7" s="6" t="n"/>
    </row>
    <row r="8">
      <c r="A8" s="16" t="inlineStr">
        <is>
          <t>구독 서비스</t>
        </is>
      </c>
      <c r="B8" s="4" t="n">
        <v>30000</v>
      </c>
      <c r="C8" s="17" t="inlineStr">
        <is>
          <t>고정비</t>
        </is>
      </c>
      <c r="D8" s="17" t="n">
        <v>25</v>
      </c>
      <c r="E8" s="6" t="n"/>
    </row>
    <row r="9">
      <c r="A9" s="16" t="inlineStr">
        <is>
          <t>비상금 적립</t>
        </is>
      </c>
      <c r="B9" s="4" t="n">
        <v>300000</v>
      </c>
      <c r="C9" s="17" t="inlineStr">
        <is>
          <t>저축</t>
        </is>
      </c>
      <c r="D9" s="17" t="n">
        <v>25</v>
      </c>
      <c r="E9" s="6" t="n"/>
    </row>
    <row r="10">
      <c r="A10" s="16" t="inlineStr">
        <is>
          <t>정기 저축</t>
        </is>
      </c>
      <c r="B10" s="4" t="n">
        <v>300000</v>
      </c>
      <c r="C10" s="17" t="inlineStr">
        <is>
          <t>저축</t>
        </is>
      </c>
      <c r="D10" s="17" t="n">
        <v>25</v>
      </c>
      <c r="E10" s="6" t="n"/>
    </row>
    <row r="11">
      <c r="A11" s="16" t="inlineStr">
        <is>
          <t>자기계발</t>
        </is>
      </c>
      <c r="B11" s="4" t="n">
        <v>100000</v>
      </c>
      <c r="C11" s="17" t="inlineStr">
        <is>
          <t>투자·자기계발</t>
        </is>
      </c>
      <c r="D11" s="17" t="n">
        <v>28</v>
      </c>
      <c r="E11" s="6" t="n"/>
    </row>
    <row r="12">
      <c r="A12" s="16" t="n"/>
      <c r="B12" s="4" t="n"/>
      <c r="C12" s="17" t="n"/>
      <c r="D12" s="17" t="n"/>
      <c r="E12" s="6" t="n"/>
    </row>
    <row r="13">
      <c r="A13" s="16" t="n"/>
      <c r="B13" s="4" t="n"/>
      <c r="C13" s="17" t="n"/>
      <c r="D13" s="17" t="n"/>
      <c r="E13" s="6" t="n"/>
    </row>
    <row r="14">
      <c r="A14" s="16" t="n"/>
      <c r="B14" s="4" t="n"/>
      <c r="C14" s="17" t="n"/>
      <c r="D14" s="17" t="n"/>
      <c r="E14" s="6" t="n"/>
    </row>
    <row r="15">
      <c r="A15" s="16" t="n"/>
      <c r="B15" s="4" t="n"/>
      <c r="C15" s="17" t="n"/>
      <c r="D15" s="17" t="n"/>
      <c r="E15" s="6" t="n"/>
    </row>
    <row r="16">
      <c r="A16" s="16" t="n"/>
      <c r="B16" s="4" t="n"/>
      <c r="C16" s="17" t="n"/>
      <c r="D16" s="17" t="n"/>
      <c r="E16" s="6" t="n"/>
    </row>
    <row r="17">
      <c r="A17" s="16" t="n"/>
      <c r="B17" s="4" t="n"/>
      <c r="C17" s="17" t="n"/>
      <c r="D17" s="17" t="n"/>
      <c r="E17" s="6" t="n"/>
    </row>
    <row r="18">
      <c r="A18" s="16" t="n"/>
      <c r="B18" s="4" t="n"/>
      <c r="C18" s="17" t="n"/>
      <c r="D18" s="17" t="n"/>
      <c r="E18" s="6" t="n"/>
    </row>
    <row r="19">
      <c r="A19" s="16" t="n"/>
      <c r="B19" s="4" t="n"/>
      <c r="C19" s="17" t="n"/>
      <c r="D19" s="17" t="n"/>
      <c r="E19" s="6" t="n"/>
    </row>
    <row r="20">
      <c r="A20" s="16" t="n"/>
      <c r="B20" s="4" t="n"/>
      <c r="C20" s="17" t="n"/>
      <c r="D20" s="17" t="n"/>
      <c r="E20" s="6" t="n"/>
    </row>
    <row r="21">
      <c r="A21" s="16" t="n"/>
      <c r="B21" s="4" t="n"/>
      <c r="C21" s="17" t="n"/>
      <c r="D21" s="17" t="n"/>
      <c r="E21" s="6" t="n"/>
    </row>
    <row r="22">
      <c r="A22" s="16" t="n"/>
      <c r="B22" s="4" t="n"/>
      <c r="C22" s="17" t="n"/>
      <c r="D22" s="17" t="n"/>
      <c r="E22" s="6" t="n"/>
    </row>
    <row r="23">
      <c r="A23" s="16" t="n"/>
      <c r="B23" s="4" t="n"/>
      <c r="C23" s="17" t="n"/>
      <c r="D23" s="17" t="n"/>
      <c r="E23" s="6" t="n"/>
    </row>
    <row r="25">
      <c r="A25" s="5" t="inlineStr">
        <is>
          <t>분류별 합계</t>
        </is>
      </c>
      <c r="B25" s="5" t="inlineStr">
        <is>
          <t>목록 합계</t>
        </is>
      </c>
      <c r="C25" s="5" t="inlineStr">
        <is>
          <t>목표 금액</t>
        </is>
      </c>
      <c r="D25" s="5" t="inlineStr">
        <is>
          <t>차이</t>
        </is>
      </c>
      <c r="E25" s="5" t="inlineStr">
        <is>
          <t>판정</t>
        </is>
      </c>
    </row>
    <row r="26">
      <c r="A26" s="3" t="inlineStr">
        <is>
          <t>고정비</t>
        </is>
      </c>
      <c r="B26" s="8">
        <f>SUMIF($C$4:$C$23,A26,$B$4:$B$23)</f>
        <v/>
      </c>
      <c r="C26" s="8">
        <f>'1_월급배분'!C8</f>
        <v/>
      </c>
      <c r="D26" s="18">
        <f>C26-B26</f>
        <v/>
      </c>
      <c r="E26" s="19">
        <f>IF(B26=0,"목록 비어 있음",IF(B26&lt;=C26,"목표 안","목표 초과"))</f>
        <v/>
      </c>
    </row>
    <row r="27">
      <c r="A27" s="3" t="inlineStr">
        <is>
          <t>생활비</t>
        </is>
      </c>
      <c r="B27" s="8">
        <f>SUMIF($C$4:$C$23,A27,$B$4:$B$23)</f>
        <v/>
      </c>
      <c r="C27" s="8">
        <f>'1_월급배분'!C9</f>
        <v/>
      </c>
      <c r="D27" s="18">
        <f>C27-B27</f>
        <v/>
      </c>
      <c r="E27" s="19">
        <f>IF(B27=0,"목록 비어 있음",IF(B27&lt;=C27,"목표 안","목표 초과"))</f>
        <v/>
      </c>
    </row>
    <row r="28">
      <c r="A28" s="3" t="inlineStr">
        <is>
          <t>저축</t>
        </is>
      </c>
      <c r="B28" s="8">
        <f>SUMIF($C$4:$C$23,A28,$B$4:$B$23)</f>
        <v/>
      </c>
      <c r="C28" s="8">
        <f>'1_월급배분'!C10</f>
        <v/>
      </c>
      <c r="D28" s="18">
        <f>C28-B28</f>
        <v/>
      </c>
      <c r="E28" s="19">
        <f>IF(B28=0,"목록 비어 있음",IF(B28&lt;=C28,"목표 안","목표 초과"))</f>
        <v/>
      </c>
    </row>
    <row r="29">
      <c r="A29" s="3" t="inlineStr">
        <is>
          <t>투자·자기계발</t>
        </is>
      </c>
      <c r="B29" s="8">
        <f>SUMIF($C$4:$C$23,A29,$B$4:$B$23)</f>
        <v/>
      </c>
      <c r="C29" s="8">
        <f>'1_월급배분'!C11</f>
        <v/>
      </c>
      <c r="D29" s="18">
        <f>C29-B29</f>
        <v/>
      </c>
      <c r="E29" s="19">
        <f>IF(B29=0,"목록 비어 있음",IF(B29&lt;=C29,"목표 안","목표 초과"))</f>
        <v/>
      </c>
    </row>
    <row r="31">
      <c r="A31" s="20" t="inlineStr">
        <is>
          <t>고정비 비중 = 고정비 합계 / 월 실수령액</t>
        </is>
      </c>
      <c r="B31" s="21">
        <f>IFERROR(B26/'1_월급배분'!B5,0)</f>
        <v/>
      </c>
    </row>
    <row r="33">
      <c r="A33" s="2" t="inlineStr">
        <is>
          <t>고정비가 실수령의 절반을 넘으면 항목을 점검해 보세요. 참고용이며 개인 상황에 따라 다릅니다.</t>
        </is>
      </c>
    </row>
  </sheetData>
  <mergeCells count="1">
    <mergeCell ref="A1:E1"/>
  </mergeCells>
  <conditionalFormatting sqref="E26:E29">
    <cfRule type="cellIs" priority="1" operator="equal" dxfId="0">
      <formula>"목표 초과"</formula>
    </cfRule>
  </conditionalFormatting>
  <dataValidations count="1">
    <dataValidation sqref="C4:C23" showDropDown="0" showInputMessage="0" showErrorMessage="0" allowBlank="1" type="list">
      <formula1>"고정비,생활비,저축,투자·자기계발"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C8FF3D"/>
    <outlinePr summaryBelow="1" summaryRight="1"/>
    <pageSetUpPr/>
  </sheetPr>
  <dimension ref="A1:I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</cols>
  <sheetData>
    <row r="1" ht="34" customHeight="1">
      <c r="A1" s="1" t="inlineStr">
        <is>
          <t>3. 12개월 기록  -  매달 실제 금액을 적고 비율을 확인하세요</t>
        </is>
      </c>
    </row>
    <row r="3">
      <c r="A3" s="5" t="inlineStr">
        <is>
          <t>월</t>
        </is>
      </c>
      <c r="B3" s="5" t="inlineStr">
        <is>
          <t>실수령</t>
        </is>
      </c>
      <c r="C3" s="5" t="inlineStr">
        <is>
          <t>고정비</t>
        </is>
      </c>
      <c r="D3" s="5" t="inlineStr">
        <is>
          <t>생활비</t>
        </is>
      </c>
      <c r="E3" s="5" t="inlineStr">
        <is>
          <t>저축</t>
        </is>
      </c>
      <c r="F3" s="5" t="inlineStr">
        <is>
          <t>투자·자기계발</t>
        </is>
      </c>
      <c r="G3" s="5" t="inlineStr">
        <is>
          <t>남은 돈</t>
        </is>
      </c>
      <c r="H3" s="5" t="inlineStr">
        <is>
          <t>고정비%</t>
        </is>
      </c>
      <c r="I3" s="5" t="inlineStr">
        <is>
          <t>저축%</t>
        </is>
      </c>
    </row>
    <row r="4">
      <c r="A4" s="22" t="inlineStr">
        <is>
          <t>1월</t>
        </is>
      </c>
      <c r="B4" s="4" t="n"/>
      <c r="C4" s="4" t="n"/>
      <c r="D4" s="4" t="n"/>
      <c r="E4" s="4" t="n"/>
      <c r="F4" s="4" t="n"/>
      <c r="G4" s="18">
        <f>IF(B4="","",B4-SUM(C4:F4))</f>
        <v/>
      </c>
      <c r="H4" s="23">
        <f>IF(N(B4)=0,"",C4/B4)</f>
        <v/>
      </c>
      <c r="I4" s="23">
        <f>IF(N(B4)=0,"",E4/B4)</f>
        <v/>
      </c>
    </row>
    <row r="5">
      <c r="A5" s="22" t="inlineStr">
        <is>
          <t>2월</t>
        </is>
      </c>
      <c r="B5" s="4" t="n"/>
      <c r="C5" s="4" t="n"/>
      <c r="D5" s="4" t="n"/>
      <c r="E5" s="4" t="n"/>
      <c r="F5" s="4" t="n"/>
      <c r="G5" s="18">
        <f>IF(B5="","",B5-SUM(C5:F5))</f>
        <v/>
      </c>
      <c r="H5" s="23">
        <f>IF(N(B5)=0,"",C5/B5)</f>
        <v/>
      </c>
      <c r="I5" s="23">
        <f>IF(N(B5)=0,"",E5/B5)</f>
        <v/>
      </c>
    </row>
    <row r="6">
      <c r="A6" s="22" t="inlineStr">
        <is>
          <t>3월</t>
        </is>
      </c>
      <c r="B6" s="4" t="n"/>
      <c r="C6" s="4" t="n"/>
      <c r="D6" s="4" t="n"/>
      <c r="E6" s="4" t="n"/>
      <c r="F6" s="4" t="n"/>
      <c r="G6" s="18">
        <f>IF(B6="","",B6-SUM(C6:F6))</f>
        <v/>
      </c>
      <c r="H6" s="23">
        <f>IF(N(B6)=0,"",C6/B6)</f>
        <v/>
      </c>
      <c r="I6" s="23">
        <f>IF(N(B6)=0,"",E6/B6)</f>
        <v/>
      </c>
    </row>
    <row r="7">
      <c r="A7" s="22" t="inlineStr">
        <is>
          <t>4월</t>
        </is>
      </c>
      <c r="B7" s="4" t="n"/>
      <c r="C7" s="4" t="n"/>
      <c r="D7" s="4" t="n"/>
      <c r="E7" s="4" t="n"/>
      <c r="F7" s="4" t="n"/>
      <c r="G7" s="18">
        <f>IF(B7="","",B7-SUM(C7:F7))</f>
        <v/>
      </c>
      <c r="H7" s="23">
        <f>IF(N(B7)=0,"",C7/B7)</f>
        <v/>
      </c>
      <c r="I7" s="23">
        <f>IF(N(B7)=0,"",E7/B7)</f>
        <v/>
      </c>
    </row>
    <row r="8">
      <c r="A8" s="22" t="inlineStr">
        <is>
          <t>5월</t>
        </is>
      </c>
      <c r="B8" s="4" t="n"/>
      <c r="C8" s="4" t="n"/>
      <c r="D8" s="4" t="n"/>
      <c r="E8" s="4" t="n"/>
      <c r="F8" s="4" t="n"/>
      <c r="G8" s="18">
        <f>IF(B8="","",B8-SUM(C8:F8))</f>
        <v/>
      </c>
      <c r="H8" s="23">
        <f>IF(N(B8)=0,"",C8/B8)</f>
        <v/>
      </c>
      <c r="I8" s="23">
        <f>IF(N(B8)=0,"",E8/B8)</f>
        <v/>
      </c>
    </row>
    <row r="9">
      <c r="A9" s="22" t="inlineStr">
        <is>
          <t>6월</t>
        </is>
      </c>
      <c r="B9" s="4" t="n"/>
      <c r="C9" s="4" t="n"/>
      <c r="D9" s="4" t="n"/>
      <c r="E9" s="4" t="n"/>
      <c r="F9" s="4" t="n"/>
      <c r="G9" s="18">
        <f>IF(B9="","",B9-SUM(C9:F9))</f>
        <v/>
      </c>
      <c r="H9" s="23">
        <f>IF(N(B9)=0,"",C9/B9)</f>
        <v/>
      </c>
      <c r="I9" s="23">
        <f>IF(N(B9)=0,"",E9/B9)</f>
        <v/>
      </c>
    </row>
    <row r="10">
      <c r="A10" s="22" t="inlineStr">
        <is>
          <t>7월</t>
        </is>
      </c>
      <c r="B10" s="4" t="n"/>
      <c r="C10" s="4" t="n"/>
      <c r="D10" s="4" t="n"/>
      <c r="E10" s="4" t="n"/>
      <c r="F10" s="4" t="n"/>
      <c r="G10" s="18">
        <f>IF(B10="","",B10-SUM(C10:F10))</f>
        <v/>
      </c>
      <c r="H10" s="23">
        <f>IF(N(B10)=0,"",C10/B10)</f>
        <v/>
      </c>
      <c r="I10" s="23">
        <f>IF(N(B10)=0,"",E10/B10)</f>
        <v/>
      </c>
    </row>
    <row r="11">
      <c r="A11" s="22" t="inlineStr">
        <is>
          <t>8월</t>
        </is>
      </c>
      <c r="B11" s="4" t="n"/>
      <c r="C11" s="4" t="n"/>
      <c r="D11" s="4" t="n"/>
      <c r="E11" s="4" t="n"/>
      <c r="F11" s="4" t="n"/>
      <c r="G11" s="18">
        <f>IF(B11="","",B11-SUM(C11:F11))</f>
        <v/>
      </c>
      <c r="H11" s="23">
        <f>IF(N(B11)=0,"",C11/B11)</f>
        <v/>
      </c>
      <c r="I11" s="23">
        <f>IF(N(B11)=0,"",E11/B11)</f>
        <v/>
      </c>
    </row>
    <row r="12">
      <c r="A12" s="22" t="inlineStr">
        <is>
          <t>9월</t>
        </is>
      </c>
      <c r="B12" s="4" t="n"/>
      <c r="C12" s="4" t="n"/>
      <c r="D12" s="4" t="n"/>
      <c r="E12" s="4" t="n"/>
      <c r="F12" s="4" t="n"/>
      <c r="G12" s="18">
        <f>IF(B12="","",B12-SUM(C12:F12))</f>
        <v/>
      </c>
      <c r="H12" s="23">
        <f>IF(N(B12)=0,"",C12/B12)</f>
        <v/>
      </c>
      <c r="I12" s="23">
        <f>IF(N(B12)=0,"",E12/B12)</f>
        <v/>
      </c>
    </row>
    <row r="13">
      <c r="A13" s="22" t="inlineStr">
        <is>
          <t>10월</t>
        </is>
      </c>
      <c r="B13" s="4" t="n"/>
      <c r="C13" s="4" t="n"/>
      <c r="D13" s="4" t="n"/>
      <c r="E13" s="4" t="n"/>
      <c r="F13" s="4" t="n"/>
      <c r="G13" s="18">
        <f>IF(B13="","",B13-SUM(C13:F13))</f>
        <v/>
      </c>
      <c r="H13" s="23">
        <f>IF(N(B13)=0,"",C13/B13)</f>
        <v/>
      </c>
      <c r="I13" s="23">
        <f>IF(N(B13)=0,"",E13/B13)</f>
        <v/>
      </c>
    </row>
    <row r="14">
      <c r="A14" s="22" t="inlineStr">
        <is>
          <t>11월</t>
        </is>
      </c>
      <c r="B14" s="4" t="n"/>
      <c r="C14" s="4" t="n"/>
      <c r="D14" s="4" t="n"/>
      <c r="E14" s="4" t="n"/>
      <c r="F14" s="4" t="n"/>
      <c r="G14" s="18">
        <f>IF(B14="","",B14-SUM(C14:F14))</f>
        <v/>
      </c>
      <c r="H14" s="23">
        <f>IF(N(B14)=0,"",C14/B14)</f>
        <v/>
      </c>
      <c r="I14" s="23">
        <f>IF(N(B14)=0,"",E14/B14)</f>
        <v/>
      </c>
    </row>
    <row r="15">
      <c r="A15" s="22" t="inlineStr">
        <is>
          <t>12월</t>
        </is>
      </c>
      <c r="B15" s="4" t="n"/>
      <c r="C15" s="4" t="n"/>
      <c r="D15" s="4" t="n"/>
      <c r="E15" s="4" t="n"/>
      <c r="F15" s="4" t="n"/>
      <c r="G15" s="18">
        <f>IF(B15="","",B15-SUM(C15:F15))</f>
        <v/>
      </c>
      <c r="H15" s="23">
        <f>IF(N(B15)=0,"",C15/B15)</f>
        <v/>
      </c>
      <c r="I15" s="23">
        <f>IF(N(B15)=0,"",E15/B15)</f>
        <v/>
      </c>
    </row>
    <row r="16">
      <c r="A16" s="22" t="inlineStr">
        <is>
          <t>합계</t>
        </is>
      </c>
      <c r="B16" s="11">
        <f>SUM(B4:B15)</f>
        <v/>
      </c>
      <c r="C16" s="11">
        <f>SUM(C4:C15)</f>
        <v/>
      </c>
      <c r="D16" s="11">
        <f>SUM(D4:D15)</f>
        <v/>
      </c>
      <c r="E16" s="11">
        <f>SUM(E4:E15)</f>
        <v/>
      </c>
      <c r="F16" s="11">
        <f>SUM(F4:F15)</f>
        <v/>
      </c>
      <c r="G16" s="11">
        <f>SUM(G4:G15)</f>
        <v/>
      </c>
      <c r="H16" s="24">
        <f>IF(B16=0,"",C16/B16)</f>
        <v/>
      </c>
      <c r="I16" s="24">
        <f>IF(B16=0,"",E16/B16)</f>
        <v/>
      </c>
    </row>
    <row r="18">
      <c r="A18" s="2" t="inlineStr">
        <is>
          <t>남은 돈이 마이너스(빨강)면 그 달 지출이 실수령보다 컸다는 뜻이에요.</t>
        </is>
      </c>
    </row>
    <row r="19">
      <c r="A19" s="15" t="inlineStr">
        <is>
          <t>참고용 템플릿이에요. 투자 권유·금융상품 추천이 아닙니다.  돈의 스케일 moneyscale-kr.github.io</t>
        </is>
      </c>
    </row>
  </sheetData>
  <mergeCells count="1">
    <mergeCell ref="A1:I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돈의 스케일</dc:creator>
  <dc:title>월급 관리 엑셀 lite</dc:title>
  <dcterms:created xsi:type="dcterms:W3CDTF">2026-10-04T21:50:04Z</dcterms:created>
  <dcterms:modified xsi:type="dcterms:W3CDTF">2026-10-04T21:50:04Z</dcterms:modified>
</cp:coreProperties>
</file>